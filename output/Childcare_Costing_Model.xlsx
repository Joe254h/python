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ssumptions" sheetId="2" state="visible" r:id="rId2"/>
    <sheet xmlns:r="http://schemas.openxmlformats.org/officeDocument/2006/relationships" name="Costs" sheetId="3" state="visible" r:id="rId3"/>
    <sheet xmlns:r="http://schemas.openxmlformats.org/officeDocument/2006/relationships" name="Revenue" sheetId="4" state="visible" r:id="rId4"/>
    <sheet xmlns:r="http://schemas.openxmlformats.org/officeDocument/2006/relationships" name="Comparison" sheetId="5" state="visible" r:id="rId5"/>
    <sheet xmlns:r="http://schemas.openxmlformats.org/officeDocument/2006/relationships" name="Sensitivity" sheetId="6" state="visible" r:id="rId6"/>
  </sheets>
  <definedNames/>
  <calcPr calcId="124519" fullCalcOnLoad="1"/>
</workbook>
</file>

<file path=xl/styles.xml><?xml version="1.0" encoding="utf-8"?>
<styleSheet xmlns="http://schemas.openxmlformats.org/spreadsheetml/2006/main">
  <numFmts count="4">
    <numFmt numFmtId="164" formatCode="#,##0.0;(#,##0.0);-"/>
    <numFmt numFmtId="165" formatCode="0.0%"/>
    <numFmt numFmtId="166" formatCode="#,##0;(#,##0);-"/>
    <numFmt numFmtId="167" formatCode="#,##0.00;(#,##0.00);-"/>
  </numFmts>
  <fonts count="9">
    <font>
      <name val="Calibri"/>
      <family val="2"/>
      <color theme="1"/>
      <sz val="11"/>
      <scheme val="minor"/>
    </font>
    <font>
      <name val="Arial"/>
      <b val="1"/>
      <color rgb="001F3864"/>
      <sz val="14"/>
    </font>
    <font>
      <name val="Arial"/>
      <i val="1"/>
      <color rgb="00595959"/>
      <sz val="10"/>
    </font>
    <font>
      <name val="Arial"/>
      <b val="1"/>
      <color rgb="001F4D78"/>
      <sz val="11"/>
    </font>
    <font>
      <name val="Arial"/>
      <sz val="10"/>
    </font>
    <font>
      <name val="Arial"/>
      <b val="1"/>
      <sz val="10"/>
    </font>
    <font>
      <name val="Arial"/>
      <b val="1"/>
      <color rgb="00FFFFFF"/>
      <sz val="10"/>
    </font>
    <font>
      <name val="Arial"/>
      <color rgb="000000FF"/>
      <sz val="10"/>
    </font>
    <font>
      <name val="Arial"/>
      <i val="1"/>
      <color rgb="00595959"/>
      <sz val="9"/>
    </font>
  </fonts>
  <fills count="5">
    <fill>
      <patternFill/>
    </fill>
    <fill>
      <patternFill patternType="gray125"/>
    </fill>
    <fill>
      <patternFill patternType="solid">
        <fgColor rgb="001F4D78"/>
      </patternFill>
    </fill>
    <fill>
      <patternFill patternType="solid">
        <fgColor rgb="00FFFF00"/>
      </patternFill>
    </fill>
    <fill>
      <patternFill patternType="solid">
        <fgColor rgb="00DEEAF6"/>
      </patternFill>
    </fill>
  </fills>
  <borders count="6">
    <border>
      <left/>
      <right/>
      <top/>
      <bottom/>
      <diagonal/>
    </border>
    <border>
      <left style="thin">
        <color rgb="00BFBFBF"/>
      </left>
      <right style="thin">
        <color rgb="00BFBFBF"/>
      </right>
      <top style="thin">
        <color rgb="00BFBFBF"/>
      </top>
      <bottom style="thin">
        <color rgb="00BFBFBF"/>
      </bottom>
    </border>
    <border>
      <top style="thin">
        <color rgb="001F4D78"/>
      </top>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0" pivotButton="0" quotePrefix="0" xfId="0"/>
    <xf numFmtId="164" fontId="7" fillId="3" borderId="1" pivotButton="0" quotePrefix="0" xfId="0"/>
    <xf numFmtId="0" fontId="8" fillId="0" borderId="0" pivotButton="0" quotePrefix="0" xfId="0"/>
    <xf numFmtId="165" fontId="7" fillId="3" borderId="1" pivotButton="0" quotePrefix="0" xfId="0"/>
    <xf numFmtId="166" fontId="7" fillId="3" borderId="1" pivotButton="0" quotePrefix="0" xfId="0"/>
    <xf numFmtId="166" fontId="7" fillId="0" borderId="1" pivotButton="0" quotePrefix="0" xfId="0"/>
    <xf numFmtId="165" fontId="7" fillId="0" borderId="1" pivotButton="0" quotePrefix="0" xfId="0"/>
    <xf numFmtId="164" fontId="7" fillId="0" borderId="1" pivotButton="0" quotePrefix="0" xfId="0"/>
    <xf numFmtId="0" fontId="5" fillId="4" borderId="0" pivotButton="0" quotePrefix="0" xfId="0"/>
    <xf numFmtId="0" fontId="0" fillId="4" borderId="0" pivotButton="0" quotePrefix="0" xfId="0"/>
    <xf numFmtId="0" fontId="4" fillId="0" borderId="0" applyAlignment="1" pivotButton="0" quotePrefix="0" xfId="0">
      <alignment indent="1"/>
    </xf>
    <xf numFmtId="166" fontId="5" fillId="0" borderId="2" pivotButton="0" quotePrefix="0" xfId="0"/>
    <xf numFmtId="166" fontId="5" fillId="0" borderId="1" pivotButton="0" quotePrefix="0" xfId="0"/>
    <xf numFmtId="164" fontId="4" fillId="0" borderId="1" pivotButton="0" quotePrefix="0" xfId="0"/>
    <xf numFmtId="166" fontId="4" fillId="0" borderId="1" pivotButton="0" quotePrefix="0" xfId="0"/>
    <xf numFmtId="166" fontId="5" fillId="4" borderId="2" pivotButton="0" quotePrefix="0" xfId="0"/>
    <xf numFmtId="164" fontId="5" fillId="0" borderId="1" pivotButton="0" quotePrefix="0" xfId="0"/>
    <xf numFmtId="167" fontId="5" fillId="4" borderId="1" pivotButton="0" quotePrefix="0" xfId="0"/>
    <xf numFmtId="166" fontId="5" fillId="4" borderId="1" pivotButton="0" quotePrefix="0" xfId="0"/>
    <xf numFmtId="167" fontId="4" fillId="0" borderId="1" pivotButton="0" quotePrefix="0" xfId="0"/>
    <xf numFmtId="164" fontId="5" fillId="4" borderId="1" pivotButton="0" quotePrefix="0" xfId="0"/>
    <xf numFmtId="2" fontId="7" fillId="0" borderId="1" pivotButton="0" quotePrefix="0" xfId="0"/>
    <xf numFmtId="0" fontId="4" fillId="0" borderId="1" applyAlignment="1" pivotButton="0" quotePrefix="0" xfId="0">
      <alignment horizontal="left"/>
    </xf>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26"/>
  <sheetViews>
    <sheetView showGridLines="0" workbookViewId="0">
      <selection activeCell="A1" sqref="A1"/>
    </sheetView>
  </sheetViews>
  <sheetFormatPr baseColWidth="8" defaultRowHeight="15"/>
  <cols>
    <col width="4" customWidth="1" min="1" max="1"/>
    <col width="104" customWidth="1" min="2" max="2"/>
  </cols>
  <sheetData>
    <row r="1">
      <c r="B1" s="1" t="inlineStr">
        <is>
          <t>Childcare Costing Model</t>
        </is>
      </c>
    </row>
    <row r="2">
      <c r="B2" s="2" t="inlineStr">
        <is>
          <t>Uasin Gishu County markets — comparing four delivery models on cost, break-even and subsidy</t>
        </is>
      </c>
    </row>
    <row r="4">
      <c r="B4" s="3" t="inlineStr">
        <is>
          <t>What this does</t>
        </is>
      </c>
    </row>
    <row r="5" ht="56" customHeight="1">
      <c r="B5" s="4" t="inlineStr">
        <is>
          <t>It takes the cost figures collected on Section L of the questionnaire and works out, for each of the four delivery models, four things: what a child-day costs, how many children are needed to break even, how large a subsidy the County would have to carry, and what inclusion costs on its own.</t>
        </is>
      </c>
    </row>
    <row r="7">
      <c r="B7" s="3" t="inlineStr">
        <is>
          <t>How to use it</t>
        </is>
      </c>
    </row>
    <row r="8" ht="28" customHeight="1">
      <c r="B8" s="4" t="inlineStr">
        <is>
          <t>1.  Fill in the Assumptions sheet. Every blue cell is an input. Yellow cells are the ones that move the answer most — get those right first.</t>
        </is>
      </c>
    </row>
    <row r="10" ht="14" customHeight="1">
      <c r="B10" s="4" t="inlineStr">
        <is>
          <t>2.  Fill in the Costs and Revenue sheets, one column per model. Blue cells only.</t>
        </is>
      </c>
    </row>
    <row r="12" ht="14" customHeight="1">
      <c r="B12" s="4" t="inlineStr">
        <is>
          <t>3.  Read Comparison. Nothing there is typed; it is all calculated.</t>
        </is>
      </c>
    </row>
    <row r="14" ht="14" customHeight="1">
      <c r="B14" s="4" t="inlineStr">
        <is>
          <t>4.  Read Sensitivity to see whether the ranking survives being wrong about the assumptions.</t>
        </is>
      </c>
    </row>
    <row r="16">
      <c r="B16" s="3" t="inlineStr">
        <is>
          <t>Colour code</t>
        </is>
      </c>
    </row>
    <row r="17" ht="28" customHeight="1">
      <c r="B17" s="4" t="inlineStr">
        <is>
          <t>Blue text = a number you type in.     Black = calculated, do not overwrite.     Green = pulled from another sheet.     Yellow fill = an assumption worth arguing about.</t>
        </is>
      </c>
    </row>
    <row r="19">
      <c r="B19" s="3" t="inlineStr">
        <is>
          <t>The figures currently in the workbook are placeholders</t>
        </is>
      </c>
    </row>
    <row r="20" ht="56" customHeight="1">
      <c r="B20" s="4" t="inlineStr">
        <is>
          <t>They are there so the formulas compute and you can see the expected format. They are plausible orders of magnitude for a Kenyan county market, not researched figures. Every one must be replaced with a real number from the facility assessment, the county interview, a provider interview, or a supplier quotation before any result is quoted to anyone.</t>
        </is>
      </c>
    </row>
    <row r="22">
      <c r="B22" s="3" t="inlineStr">
        <is>
          <t>The one thing not to get wrong</t>
        </is>
      </c>
    </row>
    <row r="23" ht="70" customHeight="1">
      <c r="B23" s="4" t="inlineStr">
        <is>
          <t>County-run will look cheapest if the building it already owns and the ECDE staff already on payroll are entered as free. They are not free — they are costs the County is already carrying. The Assumptions sheet has two switches, "Charge rent to the county model" and "Charge full cost for seconded staff". Both default to Yes. Turning either off makes the comparison unfair, and the recommendation that comes out of it wrong.</t>
        </is>
      </c>
    </row>
    <row r="25">
      <c r="B25" s="3" t="inlineStr">
        <is>
          <t>What break-even assumes</t>
        </is>
      </c>
    </row>
    <row r="26" ht="56" customHeight="1">
      <c r="B26" s="4" t="inlineStr">
        <is>
          <t>Break-even splits costs into fixed and variable. Staff are treated as fixed, but in reality they step up each time enrolment crosses the caregiver ratio, so the figure is an approximation that is most accurate near the enrolment you entered. Read it alongside the Sensitivity sheet rather than on its 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42"/>
  <sheetViews>
    <sheetView showGridLines="0" workbookViewId="0">
      <pane ySplit="4" topLeftCell="A5" activePane="bottomLeft" state="frozen"/>
      <selection pane="bottomLeft" activeCell="A1" sqref="A1"/>
    </sheetView>
  </sheetViews>
  <sheetFormatPr baseColWidth="8" defaultRowHeight="15"/>
  <cols>
    <col width="46" customWidth="1" min="1" max="1"/>
    <col width="14" customWidth="1" min="2" max="2"/>
    <col width="17" customWidth="1" min="3" max="3"/>
    <col width="17" customWidth="1" min="4" max="4"/>
    <col width="17" customWidth="1" min="5" max="5"/>
    <col width="17" customWidth="1" min="6" max="6"/>
    <col width="46" customWidth="1" min="7" max="7"/>
  </cols>
  <sheetData>
    <row r="1">
      <c r="A1" s="1" t="inlineStr">
        <is>
          <t>Assumptions</t>
        </is>
      </c>
    </row>
    <row r="2">
      <c r="A2" s="2" t="inlineStr">
        <is>
          <t>Blue cells are inputs. Yellow marks the ones that move the answer most.</t>
        </is>
      </c>
    </row>
    <row r="4">
      <c r="A4" s="5" t="inlineStr">
        <is>
          <t>Shared drivers</t>
        </is>
      </c>
    </row>
    <row r="5" ht="30" customHeight="1">
      <c r="A5" s="6" t="inlineStr">
        <is>
          <t>Driver</t>
        </is>
      </c>
      <c r="B5" s="6" t="inlineStr">
        <is>
          <t>Value</t>
        </is>
      </c>
      <c r="C5" s="6" t="inlineStr"/>
      <c r="D5" s="6" t="inlineStr"/>
      <c r="E5" s="6" t="inlineStr"/>
      <c r="F5" s="6" t="inlineStr"/>
      <c r="G5" s="6" t="inlineStr">
        <is>
          <t>Where this comes from</t>
        </is>
      </c>
    </row>
    <row r="6">
      <c r="A6" s="7" t="inlineStr">
        <is>
          <t>Days open per year</t>
        </is>
      </c>
      <c r="B6" s="8" t="n">
        <v>260</v>
      </c>
      <c r="G6" s="9" t="inlineStr">
        <is>
          <t>Trading days the centre operates. Section L6e.</t>
        </is>
      </c>
    </row>
    <row r="7">
      <c r="A7" s="7" t="inlineStr">
        <is>
          <t>Children enrolled per day</t>
        </is>
      </c>
      <c r="B7" s="8" t="n">
        <v>40</v>
      </c>
      <c r="G7" s="9" t="inlineStr">
        <is>
          <t>Expected enrolment, not places. Section L6b.</t>
        </is>
      </c>
    </row>
    <row r="8">
      <c r="A8" s="7" t="inlineStr">
        <is>
          <t>Attendance rate</t>
        </is>
      </c>
      <c r="B8" s="10" t="n">
        <v>0.8</v>
      </c>
      <c r="G8" s="9" t="inlineStr">
        <is>
          <t>Share of enrolled children present on a given day. L6c.</t>
        </is>
      </c>
    </row>
    <row r="9">
      <c r="A9" s="7" t="inlineStr">
        <is>
          <t>Fee charged per child per day</t>
        </is>
      </c>
      <c r="B9" s="11" t="n">
        <v>60</v>
      </c>
      <c r="G9" s="9" t="inlineStr">
        <is>
          <t>The price being tested. Cross-check against G1/G2.</t>
        </is>
      </c>
    </row>
    <row r="10">
      <c r="A10" s="7" t="inlineStr">
        <is>
          <t>Fee collection rate</t>
        </is>
      </c>
      <c r="B10" s="10" t="n">
        <v>0.85</v>
      </c>
      <c r="G10" s="9" t="inlineStr">
        <is>
          <t>Share of fees actually collected. G10 and G11.</t>
        </is>
      </c>
    </row>
    <row r="11">
      <c r="A11" s="7" t="inlineStr">
        <is>
          <t>Caregiver to child ratio (1 to N)</t>
        </is>
      </c>
      <c r="B11" s="8" t="n">
        <v>10</v>
      </c>
      <c r="G11" s="9" t="inlineStr">
        <is>
          <t>Enforced minimum from the county interview, section 1.</t>
        </is>
      </c>
    </row>
    <row r="12">
      <c r="A12" s="7" t="inlineStr">
        <is>
          <t>Food cost per child per day</t>
        </is>
      </c>
      <c r="B12" s="12" t="n">
        <v>35</v>
      </c>
      <c r="G12" s="9" t="inlineStr">
        <is>
          <t>Porridge and lunch. L5a.</t>
        </is>
      </c>
    </row>
    <row r="13">
      <c r="A13" s="7" t="inlineStr">
        <is>
          <t>Consumables per child per day</t>
        </is>
      </c>
      <c r="B13" s="12" t="n">
        <v>8</v>
      </c>
      <c r="G13" s="9" t="inlineStr">
        <is>
          <t>Soap, cleaning, first aid. L5d and L5e.</t>
        </is>
      </c>
    </row>
    <row r="14">
      <c r="A14" s="7" t="inlineStr">
        <is>
          <t>Statutory on-costs (NSSF, SHA, leave)</t>
        </is>
      </c>
      <c r="B14" s="13" t="n">
        <v>0.18</v>
      </c>
      <c r="G14" s="9" t="inlineStr">
        <is>
          <t>Applied to all salaries. Confirm current rates.</t>
        </is>
      </c>
    </row>
    <row r="15">
      <c r="A15" s="7" t="inlineStr">
        <is>
          <t>Building works life (years)</t>
        </is>
      </c>
      <c r="B15" s="14" t="n">
        <v>15</v>
      </c>
      <c r="G15" s="9" t="inlineStr">
        <is>
          <t>For spreading one-off works. L2.</t>
        </is>
      </c>
    </row>
    <row r="16">
      <c r="A16" s="7" t="inlineStr">
        <is>
          <t>Equipment and training life (years)</t>
        </is>
      </c>
      <c r="B16" s="14" t="n">
        <v>5</v>
      </c>
      <c r="G16" s="9" t="inlineStr">
        <is>
          <t>Furniture, play materials, initial training.</t>
        </is>
      </c>
    </row>
    <row r="17">
      <c r="A17" s="7" t="inlineStr">
        <is>
          <t>Levy per trader per month</t>
        </is>
      </c>
      <c r="B17" s="12" t="n">
        <v>0</v>
      </c>
      <c r="G17" s="9" t="inlineStr">
        <is>
          <t>Only if a market-fee levy is used. G12a.</t>
        </is>
      </c>
    </row>
    <row r="18">
      <c r="A18" s="7" t="inlineStr">
        <is>
          <t>Number of traders in the market</t>
        </is>
      </c>
      <c r="B18" s="14" t="n">
        <v>1200</v>
      </c>
      <c r="G18" s="9" t="inlineStr">
        <is>
          <t>From the county market fee register.</t>
        </is>
      </c>
    </row>
    <row r="19">
      <c r="A19" s="7" t="inlineStr">
        <is>
          <t>County subsidy per month</t>
        </is>
      </c>
      <c r="B19" s="12" t="n">
        <v>0</v>
      </c>
      <c r="G19" s="9" t="inlineStr">
        <is>
          <t>Any direct county contribution.</t>
        </is>
      </c>
    </row>
    <row r="21">
      <c r="A21" s="5" t="inlineStr">
        <is>
          <t>Imputation switches — 1 = Yes, 0 = No</t>
        </is>
      </c>
    </row>
    <row r="22">
      <c r="A22" s="7" t="inlineStr">
        <is>
          <t>Charge rent to the county model</t>
        </is>
      </c>
      <c r="B22" s="8" t="n">
        <v>1</v>
      </c>
      <c r="G22" s="9" t="inlineStr">
        <is>
          <t>Leave at 1. Setting 0 treats a county-owned building as free and rigs the comparison.</t>
        </is>
      </c>
    </row>
    <row r="23">
      <c r="A23" s="7" t="inlineStr">
        <is>
          <t>Charge full cost for seconded staff</t>
        </is>
      </c>
      <c r="B23" s="8" t="n">
        <v>1</v>
      </c>
      <c r="G23" s="9" t="inlineStr">
        <is>
          <t>Leave at 1. Seconded ECDE staff are a real cost the County already carries.</t>
        </is>
      </c>
    </row>
    <row r="25">
      <c r="A25" s="5" t="inlineStr">
        <is>
          <t>By model</t>
        </is>
      </c>
    </row>
    <row r="26" ht="30" customHeight="1">
      <c r="A26" s="6" t="inlineStr">
        <is>
          <t>Driver</t>
        </is>
      </c>
      <c r="B26" s="6" t="inlineStr"/>
      <c r="C26" s="6" t="inlineStr">
        <is>
          <t>County-run</t>
        </is>
      </c>
      <c r="D26" s="6" t="inlineStr">
        <is>
          <t>Private operator</t>
        </is>
      </c>
      <c r="E26" s="6" t="inlineStr">
        <is>
          <t>Partnership (PPP)</t>
        </is>
      </c>
      <c r="F26" s="6" t="inlineStr">
        <is>
          <t>Trader committee</t>
        </is>
      </c>
      <c r="G26" s="6" t="inlineStr">
        <is>
          <t>Where this comes from</t>
        </is>
      </c>
    </row>
    <row r="27">
      <c r="A27" s="7" t="inlineStr">
        <is>
          <t>Rent applies (1 = yes, 0 = no)</t>
        </is>
      </c>
      <c r="C27" s="14" t="n">
        <v>1</v>
      </c>
      <c r="D27" s="14" t="n">
        <v>1</v>
      </c>
      <c r="E27" s="14" t="n">
        <v>1</v>
      </c>
      <c r="F27" s="14" t="n">
        <v>0</v>
      </c>
      <c r="G27" s="9" t="inlineStr">
        <is>
          <t>County pays imputed rent only if the switch above is on; the formula handles it.</t>
        </is>
      </c>
    </row>
    <row r="28">
      <c r="A28" s="7" t="inlineStr">
        <is>
          <t>Rent per month (market rate)</t>
        </is>
      </c>
      <c r="C28" s="12" t="n">
        <v>25000</v>
      </c>
      <c r="D28" s="12" t="n">
        <v>25000</v>
      </c>
      <c r="E28" s="12" t="n">
        <v>25000</v>
      </c>
      <c r="F28" s="12" t="n">
        <v>0</v>
      </c>
      <c r="G28" s="9" t="inlineStr">
        <is>
          <t>What the space would let for. L5f.</t>
        </is>
      </c>
    </row>
    <row r="29">
      <c r="A29" s="7" t="inlineStr">
        <is>
          <t>Caregiver pay, per month</t>
        </is>
      </c>
      <c r="C29" s="12" t="n">
        <v>22000</v>
      </c>
      <c r="D29" s="12" t="n">
        <v>18000</v>
      </c>
      <c r="E29" s="12" t="n">
        <v>20000</v>
      </c>
      <c r="F29" s="12" t="n">
        <v>14000</v>
      </c>
      <c r="G29" s="9" t="inlineStr">
        <is>
          <t>County on ECDE scale; private at market rate; committee typically lowest. L4a.</t>
        </is>
      </c>
    </row>
    <row r="30">
      <c r="A30" s="7" t="inlineStr">
        <is>
          <t>Supervisor pay, per month</t>
        </is>
      </c>
      <c r="C30" s="12" t="n">
        <v>35000</v>
      </c>
      <c r="D30" s="12" t="n">
        <v>30000</v>
      </c>
      <c r="E30" s="12" t="n">
        <v>32000</v>
      </c>
      <c r="F30" s="12" t="n">
        <v>0</v>
      </c>
      <c r="G30" s="9" t="inlineStr">
        <is>
          <t>L4c.</t>
        </is>
      </c>
    </row>
    <row r="31">
      <c r="A31" s="7" t="inlineStr">
        <is>
          <t>Cook pay, per month</t>
        </is>
      </c>
      <c r="C31" s="12" t="n">
        <v>14000</v>
      </c>
      <c r="D31" s="12" t="n">
        <v>13000</v>
      </c>
      <c r="E31" s="12" t="n">
        <v>13500</v>
      </c>
      <c r="F31" s="12" t="n">
        <v>12000</v>
      </c>
      <c r="G31" s="9" t="inlineStr">
        <is>
          <t>L4d.</t>
        </is>
      </c>
    </row>
    <row r="32">
      <c r="A32" s="7" t="inlineStr">
        <is>
          <t>Cleaner pay, per month</t>
        </is>
      </c>
      <c r="C32" s="12" t="n">
        <v>12000</v>
      </c>
      <c r="D32" s="12" t="n">
        <v>11000</v>
      </c>
      <c r="E32" s="12" t="n">
        <v>11500</v>
      </c>
      <c r="F32" s="12" t="n">
        <v>10000</v>
      </c>
      <c r="G32" s="9" t="inlineStr">
        <is>
          <t>L4e.</t>
        </is>
      </c>
    </row>
    <row r="33">
      <c r="A33" s="7" t="inlineStr">
        <is>
          <t>Security pay, per month</t>
        </is>
      </c>
      <c r="C33" s="12" t="n">
        <v>15000</v>
      </c>
      <c r="D33" s="12" t="n">
        <v>14000</v>
      </c>
      <c r="E33" s="12" t="n">
        <v>14500</v>
      </c>
      <c r="F33" s="12" t="n">
        <v>0</v>
      </c>
      <c r="G33" s="9" t="inlineStr">
        <is>
          <t>L4f.</t>
        </is>
      </c>
    </row>
    <row r="34">
      <c r="A34" s="7" t="inlineStr">
        <is>
          <t>Admin overhead, % of staff cost</t>
        </is>
      </c>
      <c r="C34" s="13" t="n">
        <v>0.12</v>
      </c>
      <c r="D34" s="13" t="n">
        <v>0.1</v>
      </c>
      <c r="E34" s="13" t="n">
        <v>0.11</v>
      </c>
      <c r="F34" s="13" t="n">
        <v>0.04</v>
      </c>
      <c r="G34" s="9" t="inlineStr">
        <is>
          <t>County overhead is absorbed elsewhere — impute it, do not zero it. L5j.</t>
        </is>
      </c>
    </row>
    <row r="35">
      <c r="A35" s="7" t="inlineStr">
        <is>
          <t>Operator margin, % of total cost</t>
        </is>
      </c>
      <c r="C35" s="13" t="n">
        <v>0</v>
      </c>
      <c r="D35" s="13" t="n">
        <v>0.12</v>
      </c>
      <c r="E35" s="13" t="n">
        <v>0.06</v>
      </c>
      <c r="F35" s="13" t="n">
        <v>0</v>
      </c>
      <c r="G35" s="9" t="inlineStr">
        <is>
          <t>A private operator will not run at cost. L8d.</t>
        </is>
      </c>
    </row>
    <row r="36">
      <c r="A36" s="7" t="inlineStr">
        <is>
          <t>Cost of collecting fees, % of fees</t>
        </is>
      </c>
      <c r="C36" s="13" t="n">
        <v>0.02</v>
      </c>
      <c r="D36" s="13" t="n">
        <v>0.02</v>
      </c>
      <c r="E36" s="13" t="n">
        <v>0.02</v>
      </c>
      <c r="F36" s="13" t="n">
        <v>0.06</v>
      </c>
      <c r="G36" s="9" t="inlineStr">
        <is>
          <t>Highest where traders collect from each other. L5k.</t>
        </is>
      </c>
    </row>
    <row r="37">
      <c r="A37" s="7" t="inlineStr">
        <is>
          <t>Utilities per month</t>
        </is>
      </c>
      <c r="C37" s="12" t="n">
        <v>6000</v>
      </c>
      <c r="D37" s="12" t="n">
        <v>6000</v>
      </c>
      <c r="E37" s="12" t="n">
        <v>6000</v>
      </c>
      <c r="F37" s="12" t="n">
        <v>6000</v>
      </c>
      <c r="G37" s="9" t="inlineStr">
        <is>
          <t>L5b and L5c.</t>
        </is>
      </c>
    </row>
    <row r="38">
      <c r="A38" s="7" t="inlineStr">
        <is>
          <t>Maintenance per year</t>
        </is>
      </c>
      <c r="C38" s="12" t="n">
        <v>40000</v>
      </c>
      <c r="D38" s="12" t="n">
        <v>40000</v>
      </c>
      <c r="E38" s="12" t="n">
        <v>40000</v>
      </c>
      <c r="F38" s="12" t="n">
        <v>25000</v>
      </c>
      <c r="G38" s="9" t="inlineStr">
        <is>
          <t>L5g.</t>
        </is>
      </c>
    </row>
    <row r="39">
      <c r="A39" s="7" t="inlineStr">
        <is>
          <t>Insurance per year</t>
        </is>
      </c>
      <c r="C39" s="12" t="n">
        <v>30000</v>
      </c>
      <c r="D39" s="12" t="n">
        <v>45000</v>
      </c>
      <c r="E39" s="12" t="n">
        <v>38000</v>
      </c>
      <c r="F39" s="12" t="n">
        <v>20000</v>
      </c>
      <c r="G39" s="9" t="inlineStr">
        <is>
          <t>Public liability. Usually required for licensing. L5h.</t>
        </is>
      </c>
    </row>
    <row r="40">
      <c r="A40" s="7" t="inlineStr">
        <is>
          <t>Licence renewal per year</t>
        </is>
      </c>
      <c r="C40" s="12" t="n">
        <v>8000</v>
      </c>
      <c r="D40" s="12" t="n">
        <v>8000</v>
      </c>
      <c r="E40" s="12" t="n">
        <v>8000</v>
      </c>
      <c r="F40" s="12" t="n">
        <v>8000</v>
      </c>
      <c r="G40" s="9" t="inlineStr">
        <is>
          <t>L5i.</t>
        </is>
      </c>
    </row>
    <row r="42">
      <c r="A42" s="9" t="inlineStr">
        <is>
          <t>Every figure above is a placeholder. Replace each one before quoting any result.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3"/>
  <sheetViews>
    <sheetView showGridLines="0" workbookViewId="0">
      <pane ySplit="4" topLeftCell="A5" activePane="bottomLeft" state="frozen"/>
      <selection pane="bottomLeft" activeCell="A1" sqref="A1"/>
    </sheetView>
  </sheetViews>
  <sheetFormatPr baseColWidth="8" defaultRowHeight="15"/>
  <cols>
    <col width="48" customWidth="1" min="1" max="1"/>
    <col width="3" customWidth="1" min="2" max="2"/>
    <col width="16" customWidth="1" min="3" max="3"/>
    <col width="16" customWidth="1" min="4" max="4"/>
    <col width="16" customWidth="1" min="5" max="5"/>
    <col width="16" customWidth="1" min="6" max="6"/>
    <col width="44" customWidth="1" min="7" max="7"/>
  </cols>
  <sheetData>
    <row r="1">
      <c r="A1" s="1" t="inlineStr">
        <is>
          <t>Costs</t>
        </is>
      </c>
    </row>
    <row r="2">
      <c r="A2" s="2" t="inlineStr">
        <is>
          <t>One column per model. Blue cells are inputs; black cells calculate.</t>
        </is>
      </c>
    </row>
    <row r="5" ht="30" customHeight="1">
      <c r="A5" s="6" t="inlineStr">
        <is>
          <t>Cost line</t>
        </is>
      </c>
      <c r="B5" s="6" t="inlineStr"/>
      <c r="C5" s="6" t="inlineStr">
        <is>
          <t>County-run</t>
        </is>
      </c>
      <c r="D5" s="6" t="inlineStr">
        <is>
          <t>Private operator</t>
        </is>
      </c>
      <c r="E5" s="6" t="inlineStr">
        <is>
          <t>Partnership (PPP)</t>
        </is>
      </c>
      <c r="F5" s="6" t="inlineStr">
        <is>
          <t>Trader committee</t>
        </is>
      </c>
      <c r="G5" s="6" t="inlineStr">
        <is>
          <t>Note</t>
        </is>
      </c>
    </row>
    <row r="6">
      <c r="A6" s="15" t="inlineStr">
        <is>
          <t>One-off capital costs — works (L2)</t>
        </is>
      </c>
      <c r="B6" s="16" t="n"/>
      <c r="C6" s="16" t="n"/>
      <c r="D6" s="16" t="n"/>
      <c r="E6" s="16" t="n"/>
      <c r="F6" s="16" t="n"/>
      <c r="G6" s="16" t="n"/>
    </row>
    <row r="7">
      <c r="A7" s="17" t="inlineStr">
        <is>
          <t>Building repair or conversion</t>
        </is>
      </c>
      <c r="C7" s="12" t="n">
        <v>450000</v>
      </c>
      <c r="D7" s="12" t="n">
        <v>450000</v>
      </c>
      <c r="E7" s="12" t="n">
        <v>450000</v>
      </c>
      <c r="F7" s="12" t="n">
        <v>450000</v>
      </c>
      <c r="G7" s="9" t="inlineStr">
        <is>
          <t>L2a. From the facility assessment.</t>
        </is>
      </c>
    </row>
    <row r="8">
      <c r="A8" s="17" t="inlineStr">
        <is>
          <t>Water connection or tank</t>
        </is>
      </c>
      <c r="C8" s="12" t="n">
        <v>80000</v>
      </c>
      <c r="D8" s="12" t="n">
        <v>80000</v>
      </c>
      <c r="E8" s="12" t="n">
        <v>80000</v>
      </c>
      <c r="F8" s="12" t="n">
        <v>80000</v>
      </c>
      <c r="G8" s="9" t="inlineStr">
        <is>
          <t>L2b.</t>
        </is>
      </c>
    </row>
    <row r="9">
      <c r="A9" s="17" t="inlineStr">
        <is>
          <t>Toilets and handwashing</t>
        </is>
      </c>
      <c r="C9" s="12" t="n">
        <v>180000</v>
      </c>
      <c r="D9" s="12" t="n">
        <v>180000</v>
      </c>
      <c r="E9" s="12" t="n">
        <v>180000</v>
      </c>
      <c r="F9" s="12" t="n">
        <v>180000</v>
      </c>
      <c r="G9" s="9" t="inlineStr">
        <is>
          <t>L2c.</t>
        </is>
      </c>
    </row>
    <row r="10">
      <c r="A10" s="17" t="inlineStr">
        <is>
          <t>Kitchen / food preparation</t>
        </is>
      </c>
      <c r="C10" s="12" t="n">
        <v>120000</v>
      </c>
      <c r="D10" s="12" t="n">
        <v>120000</v>
      </c>
      <c r="E10" s="12" t="n">
        <v>120000</v>
      </c>
      <c r="F10" s="12" t="n">
        <v>90000</v>
      </c>
      <c r="G10" s="9" t="inlineStr">
        <is>
          <t>L2d.</t>
        </is>
      </c>
    </row>
    <row r="11">
      <c r="A11" s="17" t="inlineStr">
        <is>
          <t>Safety works</t>
        </is>
      </c>
      <c r="C11" s="12" t="n">
        <v>90000</v>
      </c>
      <c r="D11" s="12" t="n">
        <v>90000</v>
      </c>
      <c r="E11" s="12" t="n">
        <v>90000</v>
      </c>
      <c r="F11" s="12" t="n">
        <v>70000</v>
      </c>
      <c r="G11" s="9" t="inlineStr">
        <is>
          <t>L2e.</t>
        </is>
      </c>
    </row>
    <row r="12">
      <c r="A12" s="17" t="inlineStr">
        <is>
          <t>Electrical works and lighting</t>
        </is>
      </c>
      <c r="C12" s="12" t="n">
        <v>70000</v>
      </c>
      <c r="D12" s="12" t="n">
        <v>70000</v>
      </c>
      <c r="E12" s="12" t="n">
        <v>70000</v>
      </c>
      <c r="F12" s="12" t="n">
        <v>70000</v>
      </c>
      <c r="G12" s="9" t="inlineStr">
        <is>
          <t>L2f.</t>
        </is>
      </c>
    </row>
    <row r="13">
      <c r="A13" s="5" t="inlineStr">
        <is>
          <t>Subtotal — works</t>
        </is>
      </c>
      <c r="C13" s="18">
        <f>SUM(C7:C12)</f>
        <v/>
      </c>
      <c r="D13" s="18">
        <f>SUM(D7:D12)</f>
        <v/>
      </c>
      <c r="E13" s="18">
        <f>SUM(E7:E12)</f>
        <v/>
      </c>
      <c r="F13" s="18">
        <f>SUM(F7:F12)</f>
        <v/>
      </c>
    </row>
    <row r="14">
      <c r="A14" s="15" t="inlineStr">
        <is>
          <t>One-off capital costs — equipment and setup (L2)</t>
        </is>
      </c>
      <c r="B14" s="16" t="n"/>
      <c r="C14" s="16" t="n"/>
      <c r="D14" s="16" t="n"/>
      <c r="E14" s="16" t="n"/>
      <c r="F14" s="16" t="n"/>
      <c r="G14" s="16" t="n"/>
    </row>
    <row r="15">
      <c r="A15" s="17" t="inlineStr">
        <is>
          <t>Furniture, mats, cots, play materials</t>
        </is>
      </c>
      <c r="C15" s="12" t="n">
        <v>150000</v>
      </c>
      <c r="D15" s="12" t="n">
        <v>150000</v>
      </c>
      <c r="E15" s="12" t="n">
        <v>150000</v>
      </c>
      <c r="F15" s="12" t="n">
        <v>110000</v>
      </c>
      <c r="G15" s="9" t="inlineStr">
        <is>
          <t>L2g.</t>
        </is>
      </c>
    </row>
    <row r="16">
      <c r="A16" s="17" t="inlineStr">
        <is>
          <t>Initial caregiver training</t>
        </is>
      </c>
      <c r="C16" s="12" t="n">
        <v>120000</v>
      </c>
      <c r="D16" s="12" t="n">
        <v>120000</v>
      </c>
      <c r="E16" s="12" t="n">
        <v>120000</v>
      </c>
      <c r="F16" s="12" t="n">
        <v>60000</v>
      </c>
      <c r="G16" s="9" t="inlineStr">
        <is>
          <t>L2h.</t>
        </is>
      </c>
    </row>
    <row r="17">
      <c r="A17" s="17" t="inlineStr">
        <is>
          <t>Registration and licensing fees</t>
        </is>
      </c>
      <c r="C17" s="12" t="n">
        <v>25000</v>
      </c>
      <c r="D17" s="12" t="n">
        <v>25000</v>
      </c>
      <c r="E17" s="12" t="n">
        <v>25000</v>
      </c>
      <c r="F17" s="12" t="n">
        <v>25000</v>
      </c>
      <c r="G17" s="9" t="inlineStr">
        <is>
          <t>L2i.</t>
        </is>
      </c>
    </row>
    <row r="18">
      <c r="A18" s="5" t="inlineStr">
        <is>
          <t>Subtotal — equipment and setup</t>
        </is>
      </c>
      <c r="C18" s="18">
        <f>SUM(C15:C17)</f>
        <v/>
      </c>
      <c r="D18" s="18">
        <f>SUM(D15:D17)</f>
        <v/>
      </c>
      <c r="E18" s="18">
        <f>SUM(E15:E17)</f>
        <v/>
      </c>
      <c r="F18" s="18">
        <f>SUM(F15:F17)</f>
        <v/>
      </c>
    </row>
    <row r="19">
      <c r="A19" s="15" t="inlineStr">
        <is>
          <t>Making the space accessible (L3) — kept separate on purpose</t>
        </is>
      </c>
      <c r="B19" s="16" t="n"/>
      <c r="C19" s="16" t="n"/>
      <c r="D19" s="16" t="n"/>
      <c r="E19" s="16" t="n"/>
      <c r="F19" s="16" t="n"/>
      <c r="G19" s="16" t="n"/>
    </row>
    <row r="20">
      <c r="A20" s="17" t="inlineStr">
        <is>
          <t>Ramp</t>
        </is>
      </c>
      <c r="C20" s="12" t="n">
        <v>60000</v>
      </c>
      <c r="D20" s="12" t="n">
        <v>60000</v>
      </c>
      <c r="E20" s="12" t="n">
        <v>60000</v>
      </c>
      <c r="F20" s="12" t="n">
        <v>60000</v>
      </c>
      <c r="G20" s="9" t="inlineStr">
        <is>
          <t>L3a.</t>
        </is>
      </c>
    </row>
    <row r="21">
      <c r="A21" s="17" t="inlineStr">
        <is>
          <t>Widening doors to 800mm</t>
        </is>
      </c>
      <c r="C21" s="12" t="n">
        <v>35000</v>
      </c>
      <c r="D21" s="12" t="n">
        <v>35000</v>
      </c>
      <c r="E21" s="12" t="n">
        <v>35000</v>
      </c>
      <c r="F21" s="12" t="n">
        <v>35000</v>
      </c>
      <c r="G21" s="9" t="inlineStr">
        <is>
          <t>L3b.</t>
        </is>
      </c>
    </row>
    <row r="22">
      <c r="A22" s="17" t="inlineStr">
        <is>
          <t>Accessible toilet</t>
        </is>
      </c>
      <c r="C22" s="12" t="n">
        <v>95000</v>
      </c>
      <c r="D22" s="12" t="n">
        <v>95000</v>
      </c>
      <c r="E22" s="12" t="n">
        <v>95000</v>
      </c>
      <c r="F22" s="12" t="n">
        <v>95000</v>
      </c>
      <c r="G22" s="9" t="inlineStr">
        <is>
          <t>L3c.</t>
        </is>
      </c>
    </row>
    <row r="23">
      <c r="A23" s="17" t="inlineStr">
        <is>
          <t>Levelling the route from stalls</t>
        </is>
      </c>
      <c r="C23" s="12" t="n">
        <v>55000</v>
      </c>
      <c r="D23" s="12" t="n">
        <v>55000</v>
      </c>
      <c r="E23" s="12" t="n">
        <v>55000</v>
      </c>
      <c r="F23" s="12" t="n">
        <v>55000</v>
      </c>
      <c r="G23" s="9" t="inlineStr">
        <is>
          <t>L3d.</t>
        </is>
      </c>
    </row>
    <row r="24">
      <c r="A24" s="5" t="inlineStr">
        <is>
          <t>Subtotal — inclusion, one-off</t>
        </is>
      </c>
      <c r="C24" s="18">
        <f>SUM(C20:C23)</f>
        <v/>
      </c>
      <c r="D24" s="18">
        <f>SUM(D20:D23)</f>
        <v/>
      </c>
      <c r="E24" s="18">
        <f>SUM(E20:E23)</f>
        <v/>
      </c>
      <c r="F24" s="18">
        <f>SUM(F20:F23)</f>
        <v/>
      </c>
      <c r="G24" s="9" t="inlineStr">
        <is>
          <t>Feeds L3h and the Comparison sheet.</t>
        </is>
      </c>
    </row>
    <row r="25">
      <c r="A25" s="5" t="inlineStr">
        <is>
          <t>Annualised capital cost</t>
        </is>
      </c>
      <c r="C25" s="19">
        <f>(C13+C24)/Assumptions!$B$15+C18/Assumptions!$B$16</f>
        <v/>
      </c>
      <c r="D25" s="19">
        <f>(D13+D24)/Assumptions!$B$15+D18/Assumptions!$B$16</f>
        <v/>
      </c>
      <c r="E25" s="19">
        <f>(E13+E24)/Assumptions!$B$15+E18/Assumptions!$B$16</f>
        <v/>
      </c>
      <c r="F25" s="19">
        <f>(F13+F24)/Assumptions!$B$15+F18/Assumptions!$B$16</f>
        <v/>
      </c>
      <c r="G25" s="9" t="inlineStr">
        <is>
          <t>Works and accessibility spread over the building life; equipment and training over the shorter life.</t>
        </is>
      </c>
    </row>
    <row r="27">
      <c r="A27" s="15" t="inlineStr">
        <is>
          <t>Annual staff cost (L4)</t>
        </is>
      </c>
      <c r="B27" s="16" t="n"/>
      <c r="C27" s="16" t="n"/>
      <c r="D27" s="16" t="n"/>
      <c r="E27" s="16" t="n"/>
      <c r="F27" s="16" t="n"/>
      <c r="G27" s="16" t="n"/>
    </row>
    <row r="28">
      <c r="A28" s="17" t="inlineStr">
        <is>
          <t>Caregivers needed (children ÷ ratio, rounded up)</t>
        </is>
      </c>
      <c r="C28" s="20">
        <f>ROUNDUP(Assumptions!$B$7/Assumptions!$B$11,0)</f>
        <v/>
      </c>
      <c r="D28" s="20">
        <f>ROUNDUP(Assumptions!$B$7/Assumptions!$B$11,0)</f>
        <v/>
      </c>
      <c r="E28" s="20">
        <f>ROUNDUP(Assumptions!$B$7/Assumptions!$B$11,0)</f>
        <v/>
      </c>
      <c r="F28" s="20">
        <f>ROUNDUP(Assumptions!$B$7/Assumptions!$B$11,0)</f>
        <v/>
      </c>
      <c r="G28" s="9" t="inlineStr">
        <is>
          <t>Steps up each time enrolment crosses the ratio.</t>
        </is>
      </c>
    </row>
    <row r="29">
      <c r="A29" s="17" t="inlineStr">
        <is>
          <t>Extra caregiver time for inclusion (full-time equivalents)</t>
        </is>
      </c>
      <c r="C29" s="14" t="n">
        <v>0.5</v>
      </c>
      <c r="D29" s="14" t="n">
        <v>0.5</v>
      </c>
      <c r="E29" s="14" t="n">
        <v>0.5</v>
      </c>
      <c r="F29" s="14" t="n">
        <v>0.5</v>
      </c>
      <c r="G29" s="9" t="inlineStr">
        <is>
          <t>L3f. A lower ratio for children who need more support.</t>
        </is>
      </c>
    </row>
    <row r="30">
      <c r="A30" s="17" t="inlineStr">
        <is>
          <t>Caregivers</t>
        </is>
      </c>
      <c r="C30" s="21">
        <f>C28*Assumptions!$C$29*12*(1+Assumptions!$B$14)</f>
        <v/>
      </c>
      <c r="D30" s="21">
        <f>D28*Assumptions!$D$29*12*(1+Assumptions!$B$14)</f>
        <v/>
      </c>
      <c r="E30" s="21">
        <f>E28*Assumptions!$E$29*12*(1+Assumptions!$B$14)</f>
        <v/>
      </c>
      <c r="F30" s="21">
        <f>F28*Assumptions!$F$29*12*(1+Assumptions!$B$14)</f>
        <v/>
      </c>
      <c r="G30" s="9" t="inlineStr">
        <is>
          <t>L4a.</t>
        </is>
      </c>
    </row>
    <row r="31">
      <c r="A31" s="17" t="inlineStr">
        <is>
          <t>Supervisor</t>
        </is>
      </c>
      <c r="C31" s="21">
        <f>Assumptions!$C$30*12*(1+Assumptions!$B$14)</f>
        <v/>
      </c>
      <c r="D31" s="21">
        <f>Assumptions!$D$30*12*(1+Assumptions!$B$14)</f>
        <v/>
      </c>
      <c r="E31" s="21">
        <f>Assumptions!$E$30*12*(1+Assumptions!$B$14)</f>
        <v/>
      </c>
      <c r="F31" s="21">
        <f>Assumptions!$F$30*12*(1+Assumptions!$B$14)</f>
        <v/>
      </c>
    </row>
    <row r="32">
      <c r="A32" s="17" t="inlineStr">
        <is>
          <t>Cook</t>
        </is>
      </c>
      <c r="C32" s="21">
        <f>Assumptions!$C$31*12*(1+Assumptions!$B$14)</f>
        <v/>
      </c>
      <c r="D32" s="21">
        <f>Assumptions!$D$31*12*(1+Assumptions!$B$14)</f>
        <v/>
      </c>
      <c r="E32" s="21">
        <f>Assumptions!$E$31*12*(1+Assumptions!$B$14)</f>
        <v/>
      </c>
      <c r="F32" s="21">
        <f>Assumptions!$F$31*12*(1+Assumptions!$B$14)</f>
        <v/>
      </c>
    </row>
    <row r="33">
      <c r="A33" s="17" t="inlineStr">
        <is>
          <t>Cleaner</t>
        </is>
      </c>
      <c r="C33" s="21">
        <f>Assumptions!$C$32*12*(1+Assumptions!$B$14)</f>
        <v/>
      </c>
      <c r="D33" s="21">
        <f>Assumptions!$D$32*12*(1+Assumptions!$B$14)</f>
        <v/>
      </c>
      <c r="E33" s="21">
        <f>Assumptions!$E$32*12*(1+Assumptions!$B$14)</f>
        <v/>
      </c>
      <c r="F33" s="21">
        <f>Assumptions!$F$32*12*(1+Assumptions!$B$14)</f>
        <v/>
      </c>
    </row>
    <row r="34">
      <c r="A34" s="17" t="inlineStr">
        <is>
          <t>Security</t>
        </is>
      </c>
      <c r="C34" s="21">
        <f>Assumptions!$C$33*12*(1+Assumptions!$B$14)</f>
        <v/>
      </c>
      <c r="D34" s="21">
        <f>Assumptions!$D$33*12*(1+Assumptions!$B$14)</f>
        <v/>
      </c>
      <c r="E34" s="21">
        <f>Assumptions!$E$33*12*(1+Assumptions!$B$14)</f>
        <v/>
      </c>
      <c r="F34" s="21">
        <f>Assumptions!$F$33*12*(1+Assumptions!$B$14)</f>
        <v/>
      </c>
    </row>
    <row r="35">
      <c r="A35" s="17" t="inlineStr">
        <is>
          <t>Inclusion — extra caregiver time</t>
        </is>
      </c>
      <c r="C35" s="21">
        <f>C29*Assumptions!$C$29*12*(1+Assumptions!$B$14)</f>
        <v/>
      </c>
      <c r="D35" s="21">
        <f>D29*Assumptions!$D$29*12*(1+Assumptions!$B$14)</f>
        <v/>
      </c>
      <c r="E35" s="21">
        <f>E29*Assumptions!$E$29*12*(1+Assumptions!$B$14)</f>
        <v/>
      </c>
      <c r="F35" s="21">
        <f>F29*Assumptions!$F$29*12*(1+Assumptions!$B$14)</f>
        <v/>
      </c>
      <c r="G35" s="9" t="inlineStr">
        <is>
          <t>Part of the inclusion cost; also counted in the inclusion line below.</t>
        </is>
      </c>
    </row>
    <row r="36">
      <c r="A36" s="5" t="inlineStr">
        <is>
          <t>Subtotal — staff</t>
        </is>
      </c>
      <c r="C36" s="18">
        <f>SUM(C30:C35)</f>
        <v/>
      </c>
      <c r="D36" s="18">
        <f>SUM(D30:D35)</f>
        <v/>
      </c>
      <c r="E36" s="18">
        <f>SUM(E30:E35)</f>
        <v/>
      </c>
      <c r="F36" s="18">
        <f>SUM(F30:F35)</f>
        <v/>
      </c>
    </row>
    <row r="37">
      <c r="A37" s="5" t="inlineStr">
        <is>
          <t>Seconded-staff adjustment</t>
        </is>
      </c>
      <c r="C37" s="21">
        <f>IF(Assumptions!$B$23=1,0,-C36)</f>
        <v/>
      </c>
      <c r="D37" s="21">
        <f>0</f>
        <v/>
      </c>
      <c r="E37" s="21">
        <f>0</f>
        <v/>
      </c>
      <c r="F37" s="21">
        <f>0</f>
        <v/>
      </c>
      <c r="G37" s="9" t="inlineStr">
        <is>
          <t>Zero while the switch is on, which is how it should stay. If the switch is turned off, county staff cost drops out entirely — that is what makes the comparison unfair.</t>
        </is>
      </c>
    </row>
    <row r="39">
      <c r="A39" s="15" t="inlineStr">
        <is>
          <t>Other annual running costs (L5)</t>
        </is>
      </c>
      <c r="B39" s="16" t="n"/>
      <c r="C39" s="16" t="n"/>
      <c r="D39" s="16" t="n"/>
      <c r="E39" s="16" t="n"/>
      <c r="F39" s="16" t="n"/>
      <c r="G39" s="16" t="n"/>
    </row>
    <row r="40">
      <c r="A40" s="17" t="inlineStr">
        <is>
          <t>Food</t>
        </is>
      </c>
      <c r="C40" s="21">
        <f>Assumptions!$B$7*Assumptions!$B$8*Assumptions!$B$6*Assumptions!$B$12</f>
        <v/>
      </c>
      <c r="D40" s="21">
        <f>Assumptions!$B$7*Assumptions!$B$8*Assumptions!$B$6*Assumptions!$B$12</f>
        <v/>
      </c>
      <c r="E40" s="21">
        <f>Assumptions!$B$7*Assumptions!$B$8*Assumptions!$B$6*Assumptions!$B$12</f>
        <v/>
      </c>
      <c r="F40" s="21">
        <f>Assumptions!$B$7*Assumptions!$B$8*Assumptions!$B$6*Assumptions!$B$12</f>
        <v/>
      </c>
      <c r="G40" s="9" t="inlineStr">
        <is>
          <t>L5a. Varies with the number of children.</t>
        </is>
      </c>
    </row>
    <row r="41">
      <c r="A41" s="17" t="inlineStr">
        <is>
          <t>Consumables, cleaning and first aid</t>
        </is>
      </c>
      <c r="C41" s="21">
        <f>Assumptions!$B$7*Assumptions!$B$8*Assumptions!$B$6*Assumptions!$B$13</f>
        <v/>
      </c>
      <c r="D41" s="21">
        <f>Assumptions!$B$7*Assumptions!$B$8*Assumptions!$B$6*Assumptions!$B$13</f>
        <v/>
      </c>
      <c r="E41" s="21">
        <f>Assumptions!$B$7*Assumptions!$B$8*Assumptions!$B$6*Assumptions!$B$13</f>
        <v/>
      </c>
      <c r="F41" s="21">
        <f>Assumptions!$B$7*Assumptions!$B$8*Assumptions!$B$6*Assumptions!$B$13</f>
        <v/>
      </c>
    </row>
    <row r="42">
      <c r="A42" s="17" t="inlineStr">
        <is>
          <t>Utilities</t>
        </is>
      </c>
      <c r="C42" s="21">
        <f>Assumptions!$C$37*12</f>
        <v/>
      </c>
      <c r="D42" s="21">
        <f>Assumptions!$D$37*12</f>
        <v/>
      </c>
      <c r="E42" s="21">
        <f>Assumptions!$E$37*12</f>
        <v/>
      </c>
      <c r="F42" s="21">
        <f>Assumptions!$F$37*12</f>
        <v/>
      </c>
    </row>
    <row r="43">
      <c r="A43" s="17" t="inlineStr">
        <is>
          <t>Rent or space charge</t>
        </is>
      </c>
      <c r="C43" s="21">
        <f>IF(Assumptions!$B$22=1,Assumptions!$C$28*12*Assumptions!$C$27,0)</f>
        <v/>
      </c>
      <c r="D43" s="21">
        <f>Assumptions!$D$28*12*Assumptions!$D$27</f>
        <v/>
      </c>
      <c r="E43" s="21">
        <f>Assumptions!$E$28*12*Assumptions!$E$27</f>
        <v/>
      </c>
      <c r="F43" s="21">
        <f>Assumptions!$F$28*12*Assumptions!$F$27</f>
        <v/>
      </c>
      <c r="G43" s="9" t="inlineStr">
        <is>
          <t>L5f. The county model pays imputed rent while the switch is on.</t>
        </is>
      </c>
    </row>
    <row r="44">
      <c r="A44" s="17" t="inlineStr">
        <is>
          <t>Maintenance and repairs</t>
        </is>
      </c>
      <c r="C44" s="21">
        <f>Assumptions!$C$38</f>
        <v/>
      </c>
      <c r="D44" s="21">
        <f>Assumptions!$D$38</f>
        <v/>
      </c>
      <c r="E44" s="21">
        <f>Assumptions!$E$38</f>
        <v/>
      </c>
      <c r="F44" s="21">
        <f>Assumptions!$F$38</f>
        <v/>
      </c>
    </row>
    <row r="45">
      <c r="A45" s="17" t="inlineStr">
        <is>
          <t>Insurance (public liability)</t>
        </is>
      </c>
      <c r="C45" s="21">
        <f>Assumptions!$C$39</f>
        <v/>
      </c>
      <c r="D45" s="21">
        <f>Assumptions!$D$39</f>
        <v/>
      </c>
      <c r="E45" s="21">
        <f>Assumptions!$E$39</f>
        <v/>
      </c>
      <c r="F45" s="21">
        <f>Assumptions!$F$39</f>
        <v/>
      </c>
    </row>
    <row r="46">
      <c r="A46" s="17" t="inlineStr">
        <is>
          <t>Licence renewal</t>
        </is>
      </c>
      <c r="C46" s="21">
        <f>Assumptions!$C$40</f>
        <v/>
      </c>
      <c r="D46" s="21">
        <f>Assumptions!$D$40</f>
        <v/>
      </c>
      <c r="E46" s="21">
        <f>Assumptions!$E$40</f>
        <v/>
      </c>
      <c r="F46" s="21">
        <f>Assumptions!$F$40</f>
        <v/>
      </c>
    </row>
    <row r="47">
      <c r="A47" s="17" t="inlineStr">
        <is>
          <t>Administration and management</t>
        </is>
      </c>
      <c r="C47" s="21">
        <f>Assumptions!$C$34*(C36)</f>
        <v/>
      </c>
      <c r="D47" s="21">
        <f>Assumptions!$D$34*(D36)</f>
        <v/>
      </c>
      <c r="E47" s="21">
        <f>Assumptions!$E$34*(E36)</f>
        <v/>
      </c>
      <c r="F47" s="21">
        <f>Assumptions!$F$34*(F36)</f>
        <v/>
      </c>
    </row>
    <row r="48">
      <c r="A48" s="17" t="inlineStr">
        <is>
          <t>Cost of collecting fees</t>
        </is>
      </c>
      <c r="C48" s="21">
        <f>Assumptions!$C$36*Assumptions!$B$7*Assumptions!$B$8*Assumptions!$B$6*Assumptions!$B$9*Assumptions!$B$10</f>
        <v/>
      </c>
      <c r="D48" s="21">
        <f>Assumptions!$D$36*Assumptions!$B$7*Assumptions!$B$8*Assumptions!$B$6*Assumptions!$B$9*Assumptions!$B$10</f>
        <v/>
      </c>
      <c r="E48" s="21">
        <f>Assumptions!$E$36*Assumptions!$B$7*Assumptions!$B$8*Assumptions!$B$6*Assumptions!$B$9*Assumptions!$B$10</f>
        <v/>
      </c>
      <c r="F48" s="21">
        <f>Assumptions!$F$36*Assumptions!$B$7*Assumptions!$B$8*Assumptions!$B$6*Assumptions!$B$9*Assumptions!$B$10</f>
        <v/>
      </c>
      <c r="G48" s="9" t="inlineStr">
        <is>
          <t>L5k. Highest under the committee model.</t>
        </is>
      </c>
    </row>
    <row r="49">
      <c r="A49" s="5" t="inlineStr">
        <is>
          <t>Subtotal — other running costs</t>
        </is>
      </c>
      <c r="C49" s="18">
        <f>SUM(C40:C48)</f>
        <v/>
      </c>
      <c r="D49" s="18">
        <f>SUM(D40:D48)</f>
        <v/>
      </c>
      <c r="E49" s="18">
        <f>SUM(E40:E48)</f>
        <v/>
      </c>
      <c r="F49" s="18">
        <f>SUM(F40:F48)</f>
        <v/>
      </c>
    </row>
    <row r="50">
      <c r="A50" s="5" t="inlineStr">
        <is>
          <t>Operator margin</t>
        </is>
      </c>
      <c r="C50" s="21">
        <f>Assumptions!$C$35*(C25+C36+C37+C49)</f>
        <v/>
      </c>
      <c r="D50" s="21">
        <f>Assumptions!$D$35*(D25+D36+D37+D49)</f>
        <v/>
      </c>
      <c r="E50" s="21">
        <f>Assumptions!$E$35*(E25+E36+E37+E49)</f>
        <v/>
      </c>
      <c r="F50" s="21">
        <f>Assumptions!$F$35*(F25+F36+F37+F49)</f>
        <v/>
      </c>
      <c r="G50" s="9" t="inlineStr">
        <is>
          <t>L8d. A private operator will not run at cost.</t>
        </is>
      </c>
    </row>
    <row r="51">
      <c r="A51" s="5" t="inlineStr">
        <is>
          <t>TOTAL ANNUAL COST</t>
        </is>
      </c>
      <c r="C51" s="22">
        <f>C25+C36+C37+C49+C50</f>
        <v/>
      </c>
      <c r="D51" s="22">
        <f>D25+D36+D37+D49+D50</f>
        <v/>
      </c>
      <c r="E51" s="22">
        <f>E25+E36+E37+E49+E50</f>
        <v/>
      </c>
      <c r="F51" s="22">
        <f>F25+F36+F37+F49+F50</f>
        <v/>
      </c>
    </row>
    <row r="53">
      <c r="A53" s="5" t="inlineStr">
        <is>
          <t>Of which, cost of inclusion</t>
        </is>
      </c>
      <c r="C53" s="19">
        <f>C24/Assumptions!$B$15+C35</f>
        <v/>
      </c>
      <c r="D53" s="19">
        <f>D24/Assumptions!$B$15+D35</f>
        <v/>
      </c>
      <c r="E53" s="19">
        <f>E24/Assumptions!$B$15+E35</f>
        <v/>
      </c>
      <c r="F53" s="19">
        <f>F24/Assumptions!$B$15+F35</f>
        <v/>
      </c>
      <c r="G53" s="9" t="inlineStr">
        <is>
          <t>L3h annualised plus L3i. Shown separately so the County can see what inclusion costs and decide who pays for 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showGridLines="0" workbookViewId="0">
      <pane ySplit="4" topLeftCell="A5" activePane="bottomLeft" state="frozen"/>
      <selection pane="bottomLeft" activeCell="A1" sqref="A1"/>
    </sheetView>
  </sheetViews>
  <sheetFormatPr baseColWidth="8" defaultRowHeight="15"/>
  <cols>
    <col width="48" customWidth="1" min="1" max="1"/>
    <col width="3" customWidth="1" min="2" max="2"/>
    <col width="16" customWidth="1" min="3" max="3"/>
    <col width="16" customWidth="1" min="4" max="4"/>
    <col width="16" customWidth="1" min="5" max="5"/>
    <col width="16" customWidth="1" min="6" max="6"/>
    <col width="44" customWidth="1" min="7" max="7"/>
  </cols>
  <sheetData>
    <row r="1">
      <c r="A1" s="1" t="inlineStr">
        <is>
          <t>Revenue</t>
        </is>
      </c>
    </row>
    <row r="2">
      <c r="A2" s="2" t="inlineStr">
        <is>
          <t>Money coming in each year, per model (Section L7).</t>
        </is>
      </c>
    </row>
    <row r="5" ht="30" customHeight="1">
      <c r="A5" s="6" t="inlineStr">
        <is>
          <t>Source</t>
        </is>
      </c>
      <c r="B5" s="6" t="inlineStr"/>
      <c r="C5" s="6" t="inlineStr">
        <is>
          <t>County-run</t>
        </is>
      </c>
      <c r="D5" s="6" t="inlineStr">
        <is>
          <t>Private operator</t>
        </is>
      </c>
      <c r="E5" s="6" t="inlineStr">
        <is>
          <t>Partnership (PPP)</t>
        </is>
      </c>
      <c r="F5" s="6" t="inlineStr">
        <is>
          <t>Trader committee</t>
        </is>
      </c>
      <c r="G5" s="6" t="inlineStr">
        <is>
          <t>Note</t>
        </is>
      </c>
    </row>
    <row r="6">
      <c r="A6" s="5" t="inlineStr">
        <is>
          <t>Child-days per year</t>
        </is>
      </c>
      <c r="C6" s="23">
        <f>Assumptions!$B$7*Assumptions!$B$8*Assumptions!$B$6</f>
        <v/>
      </c>
      <c r="D6" s="23">
        <f>Assumptions!$B$7*Assumptions!$B$8*Assumptions!$B$6</f>
        <v/>
      </c>
      <c r="E6" s="23">
        <f>Assumptions!$B$7*Assumptions!$B$8*Assumptions!$B$6</f>
        <v/>
      </c>
      <c r="F6" s="23">
        <f>Assumptions!$B$7*Assumptions!$B$8*Assumptions!$B$6</f>
        <v/>
      </c>
      <c r="G6" s="9" t="inlineStr">
        <is>
          <t>Children enrolled × attendance × days open. The denominator for cost per child-day.</t>
        </is>
      </c>
    </row>
    <row r="8">
      <c r="A8" s="17" t="inlineStr">
        <is>
          <t>Fees from parents</t>
        </is>
      </c>
      <c r="C8" s="21">
        <f>C6*Assumptions!$B$9*Assumptions!$B$10</f>
        <v/>
      </c>
      <c r="D8" s="21">
        <f>D6*Assumptions!$B$9*Assumptions!$B$10</f>
        <v/>
      </c>
      <c r="E8" s="21">
        <f>E6*Assumptions!$B$9*Assumptions!$B$10</f>
        <v/>
      </c>
      <c r="F8" s="21">
        <f>F6*Assumptions!$B$9*Assumptions!$B$10</f>
        <v/>
      </c>
      <c r="G8" s="9" t="inlineStr">
        <is>
          <t>L7a. Net of what is not collected — see the collection rate on Assumptions.</t>
        </is>
      </c>
    </row>
    <row r="9">
      <c r="A9" s="17" t="inlineStr">
        <is>
          <t>Market levy</t>
        </is>
      </c>
      <c r="C9" s="21">
        <f>Assumptions!$B$17*Assumptions!$B$18*12</f>
        <v/>
      </c>
      <c r="D9" s="21">
        <f>Assumptions!$B$17*Assumptions!$B$18*12</f>
        <v/>
      </c>
      <c r="E9" s="21">
        <f>Assumptions!$B$17*Assumptions!$B$18*12</f>
        <v/>
      </c>
      <c r="F9" s="21">
        <f>Assumptions!$B$17*Assumptions!$B$18*12</f>
        <v/>
      </c>
      <c r="G9" s="9" t="inlineStr">
        <is>
          <t>L7c. Zero unless a levy is used. G12a gives what traders would accept.</t>
        </is>
      </c>
    </row>
    <row r="10">
      <c r="A10" s="17" t="inlineStr">
        <is>
          <t>County subsidy</t>
        </is>
      </c>
      <c r="C10" s="21">
        <f>Assumptions!$B$19*12</f>
        <v/>
      </c>
      <c r="D10" s="21">
        <f>Assumptions!$B$19*12</f>
        <v/>
      </c>
      <c r="E10" s="21">
        <f>Assumptions!$B$19*12</f>
        <v/>
      </c>
      <c r="F10" s="21">
        <f>Assumptions!$B$19*12</f>
        <v/>
      </c>
      <c r="G10" s="9" t="inlineStr">
        <is>
          <t>L7d.</t>
        </is>
      </c>
    </row>
    <row r="11">
      <c r="A11" s="17" t="inlineStr">
        <is>
          <t>Donor or NGO support</t>
        </is>
      </c>
      <c r="C11" s="12" t="n">
        <v>0</v>
      </c>
      <c r="D11" s="12" t="n">
        <v>0</v>
      </c>
      <c r="E11" s="12" t="n">
        <v>0</v>
      </c>
      <c r="F11" s="12" t="n">
        <v>0</v>
      </c>
      <c r="G11" s="9" t="inlineStr">
        <is>
          <t>L7e.</t>
        </is>
      </c>
    </row>
    <row r="12">
      <c r="A12" s="5" t="inlineStr">
        <is>
          <t>TOTAL ANNUAL REVENUE</t>
        </is>
      </c>
      <c r="C12" s="22">
        <f>SUM(C8:C11)</f>
        <v/>
      </c>
      <c r="D12" s="22">
        <f>SUM(D8:D11)</f>
        <v/>
      </c>
      <c r="E12" s="22">
        <f>SUM(E8:E11)</f>
        <v/>
      </c>
      <c r="F12" s="22">
        <f>SUM(F8:F11)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3"/>
  <sheetViews>
    <sheetView showGridLines="0" workbookViewId="0">
      <pane ySplit="4" topLeftCell="A5" activePane="bottomLeft" state="frozen"/>
      <selection pane="bottomLeft" activeCell="A1" sqref="A1"/>
    </sheetView>
  </sheetViews>
  <sheetFormatPr baseColWidth="8" defaultRowHeight="15"/>
  <cols>
    <col width="50" customWidth="1" min="1" max="1"/>
    <col width="3" customWidth="1" min="2" max="2"/>
    <col width="16" customWidth="1" min="3" max="3"/>
    <col width="16" customWidth="1" min="4" max="4"/>
    <col width="16" customWidth="1" min="5" max="5"/>
    <col width="16" customWidth="1" min="6" max="6"/>
    <col width="44" customWidth="1" min="7" max="7"/>
  </cols>
  <sheetData>
    <row r="1">
      <c r="A1" s="1" t="inlineStr">
        <is>
          <t>Comparison</t>
        </is>
      </c>
    </row>
    <row r="2">
      <c r="A2" s="2" t="inlineStr">
        <is>
          <t>Nothing on this sheet is typed. Change the inputs, not these cells.</t>
        </is>
      </c>
    </row>
    <row r="5" ht="30" customHeight="1">
      <c r="A5" s="6" t="inlineStr">
        <is>
          <t>Result</t>
        </is>
      </c>
      <c r="B5" s="6" t="inlineStr"/>
      <c r="C5" s="6" t="inlineStr">
        <is>
          <t>County-run</t>
        </is>
      </c>
      <c r="D5" s="6" t="inlineStr">
        <is>
          <t>Private operator</t>
        </is>
      </c>
      <c r="E5" s="6" t="inlineStr">
        <is>
          <t>Partnership (PPP)</t>
        </is>
      </c>
      <c r="F5" s="6" t="inlineStr">
        <is>
          <t>Trader committee</t>
        </is>
      </c>
      <c r="G5" s="6" t="inlineStr">
        <is>
          <t>How it is worked out</t>
        </is>
      </c>
    </row>
    <row r="6">
      <c r="A6" s="5" t="inlineStr">
        <is>
          <t>Total annual cost</t>
        </is>
      </c>
      <c r="C6" s="19">
        <f>Costs!C51</f>
        <v/>
      </c>
      <c r="D6" s="19">
        <f>Costs!D51</f>
        <v/>
      </c>
      <c r="E6" s="19">
        <f>Costs!E51</f>
        <v/>
      </c>
      <c r="F6" s="19">
        <f>Costs!F51</f>
        <v/>
      </c>
      <c r="G6" s="9" t="inlineStr">
        <is>
          <t>From the Costs sheet.</t>
        </is>
      </c>
    </row>
    <row r="7">
      <c r="A7" s="5" t="inlineStr">
        <is>
          <t>Total annual revenue</t>
        </is>
      </c>
      <c r="C7" s="19">
        <f>Revenue!C12</f>
        <v/>
      </c>
      <c r="D7" s="19">
        <f>Revenue!D12</f>
        <v/>
      </c>
      <c r="E7" s="19">
        <f>Revenue!E12</f>
        <v/>
      </c>
      <c r="F7" s="19">
        <f>Revenue!F12</f>
        <v/>
      </c>
      <c r="G7" s="9" t="inlineStr">
        <is>
          <t>From the Revenue sheet.</t>
        </is>
      </c>
    </row>
    <row r="9">
      <c r="A9" s="5" t="inlineStr">
        <is>
          <t>Cost per child-day</t>
        </is>
      </c>
      <c r="C9" s="24">
        <f>IFERROR(Costs!C51/Revenue!C6,0)</f>
        <v/>
      </c>
      <c r="D9" s="24">
        <f>IFERROR(Costs!D51/Revenue!D6,0)</f>
        <v/>
      </c>
      <c r="E9" s="24">
        <f>IFERROR(Costs!E51/Revenue!E6,0)</f>
        <v/>
      </c>
      <c r="F9" s="24">
        <f>IFERROR(Costs!F51/Revenue!F6,0)</f>
        <v/>
      </c>
      <c r="G9" s="9" t="inlineStr">
        <is>
          <t>L9a. Total annual cost ÷ child-days. The number to compare models on.</t>
        </is>
      </c>
    </row>
    <row r="10">
      <c r="A10" s="5" t="inlineStr">
        <is>
          <t>Annual shortfall the County must cover</t>
        </is>
      </c>
      <c r="C10" s="25">
        <f>Costs!C51-Revenue!C12</f>
        <v/>
      </c>
      <c r="D10" s="25">
        <f>Costs!D51-Revenue!D12</f>
        <v/>
      </c>
      <c r="E10" s="25">
        <f>Costs!E51-Revenue!E12</f>
        <v/>
      </c>
      <c r="F10" s="25">
        <f>Costs!F51-Revenue!F12</f>
        <v/>
      </c>
      <c r="G10" s="9" t="inlineStr">
        <is>
          <t>L9c. Cost minus revenue. This is the budget line.</t>
        </is>
      </c>
    </row>
    <row r="11">
      <c r="A11" s="7" t="inlineStr">
        <is>
          <t>Shortfall per child-day</t>
        </is>
      </c>
      <c r="C11" s="26">
        <f>IFERROR((Costs!C51-Revenue!C12)/Revenue!C6,0)</f>
        <v/>
      </c>
      <c r="D11" s="26">
        <f>IFERROR((Costs!D51-Revenue!D12)/Revenue!D6,0)</f>
        <v/>
      </c>
      <c r="E11" s="26">
        <f>IFERROR((Costs!E51-Revenue!E12)/Revenue!E6,0)</f>
        <v/>
      </c>
      <c r="F11" s="26">
        <f>IFERROR((Costs!F51-Revenue!F12)/Revenue!F6,0)</f>
        <v/>
      </c>
      <c r="G11" s="9" t="inlineStr">
        <is>
          <t>The same gap, per child served per day.</t>
        </is>
      </c>
    </row>
    <row r="13">
      <c r="A13" s="7" t="inlineStr">
        <is>
          <t>Variable cost per child-day</t>
        </is>
      </c>
      <c r="C13" s="26">
        <f>Assumptions!$B$12+Assumptions!$B$13</f>
        <v/>
      </c>
      <c r="D13" s="26">
        <f>Assumptions!$B$12+Assumptions!$B$13</f>
        <v/>
      </c>
      <c r="E13" s="26">
        <f>Assumptions!$B$12+Assumptions!$B$13</f>
        <v/>
      </c>
      <c r="F13" s="26">
        <f>Assumptions!$B$12+Assumptions!$B$13</f>
        <v/>
      </c>
      <c r="G13" s="9" t="inlineStr">
        <is>
          <t>Food and consumables — the costs that rise with each extra child.</t>
        </is>
      </c>
    </row>
    <row r="14">
      <c r="A14" s="7" t="inlineStr">
        <is>
          <t>Fixed cost per year</t>
        </is>
      </c>
      <c r="C14" s="21">
        <f>Costs!C51-(Costs!C40+Costs!C41)</f>
        <v/>
      </c>
      <c r="D14" s="21">
        <f>Costs!D51-(Costs!D40+Costs!D41)</f>
        <v/>
      </c>
      <c r="E14" s="21">
        <f>Costs!E51-(Costs!E40+Costs!E41)</f>
        <v/>
      </c>
      <c r="F14" s="21">
        <f>Costs!F51-(Costs!F40+Costs!F41)</f>
        <v/>
      </c>
      <c r="G14" s="9" t="inlineStr">
        <is>
          <t>Everything else: staff, rent, utilities, insurance, overhead, annualised capital.</t>
        </is>
      </c>
    </row>
    <row r="15">
      <c r="A15" s="7" t="inlineStr">
        <is>
          <t>Net fee received per child-day</t>
        </is>
      </c>
      <c r="C15" s="26">
        <f>Assumptions!$B$9*Assumptions!$B$10-C13</f>
        <v/>
      </c>
      <c r="D15" s="26">
        <f>Assumptions!$B$9*Assumptions!$B$10-D13</f>
        <v/>
      </c>
      <c r="E15" s="26">
        <f>Assumptions!$B$9*Assumptions!$B$10-E13</f>
        <v/>
      </c>
      <c r="F15" s="26">
        <f>Assumptions!$B$9*Assumptions!$B$10-F13</f>
        <v/>
      </c>
      <c r="G15" s="9" t="inlineStr">
        <is>
          <t>What one extra child-day contributes towards fixed costs.</t>
        </is>
      </c>
    </row>
    <row r="16">
      <c r="A16" s="5" t="inlineStr">
        <is>
          <t>Children per day needed to break even</t>
        </is>
      </c>
      <c r="C16" s="27">
        <f>IF(C15&lt;=0,"never at this fee",ROUNDUP(C14/(C15*Assumptions!$B$6*Assumptions!$B$8),0))</f>
        <v/>
      </c>
      <c r="D16" s="27">
        <f>IF(D15&lt;=0,"never at this fee",ROUNDUP(D14/(D15*Assumptions!$B$6*Assumptions!$B$8),0))</f>
        <v/>
      </c>
      <c r="E16" s="27">
        <f>IF(E15&lt;=0,"never at this fee",ROUNDUP(E14/(E15*Assumptions!$B$6*Assumptions!$B$8),0))</f>
        <v/>
      </c>
      <c r="F16" s="27">
        <f>IF(F15&lt;=0,"never at this fee",ROUNDUP(F14/(F15*Assumptions!$B$6*Assumptions!$B$8),0))</f>
        <v/>
      </c>
      <c r="G16" s="9" t="inlineStr">
        <is>
          <t>L9b. If the fee does not cover food and consumables, no enrolment breaks even — the cell says so.</t>
        </is>
      </c>
    </row>
    <row r="17">
      <c r="A17" s="7" t="inlineStr">
        <is>
          <t>Break-even fee per child-day at the enrolment entered</t>
        </is>
      </c>
      <c r="C17" s="26">
        <f>IFERROR(Costs!C51/(Revenue!C6*Assumptions!$B$10),0)</f>
        <v/>
      </c>
      <c r="D17" s="26">
        <f>IFERROR(Costs!D51/(Revenue!D6*Assumptions!$B$10),0)</f>
        <v/>
      </c>
      <c r="E17" s="26">
        <f>IFERROR(Costs!E51/(Revenue!E6*Assumptions!$B$10),0)</f>
        <v/>
      </c>
      <c r="F17" s="26">
        <f>IFERROR(Costs!F51/(Revenue!F6*Assumptions!$B$10),0)</f>
        <v/>
      </c>
      <c r="G17" s="9" t="inlineStr">
        <is>
          <t>What you would have to charge to cover costs at the enrolment on the Assumptions sheet. Compare against G1 and G2.</t>
        </is>
      </c>
    </row>
    <row r="19">
      <c r="A19" s="5" t="inlineStr">
        <is>
          <t>Cost of inclusion, per year</t>
        </is>
      </c>
      <c r="C19" s="19">
        <f>Costs!C53</f>
        <v/>
      </c>
      <c r="D19" s="19">
        <f>Costs!D53</f>
        <v/>
      </c>
      <c r="E19" s="19">
        <f>Costs!E53</f>
        <v/>
      </c>
      <c r="F19" s="19">
        <f>Costs!F53</f>
        <v/>
      </c>
      <c r="G19" s="9" t="inlineStr">
        <is>
          <t>L9d. Accessibility works spread over the building life, plus the extra caregiver time.</t>
        </is>
      </c>
    </row>
    <row r="20">
      <c r="A20" s="7" t="inlineStr">
        <is>
          <t>Cost of inclusion, per child-day</t>
        </is>
      </c>
      <c r="C20" s="26">
        <f>IFERROR(Costs!C53/Revenue!C6,0)</f>
        <v/>
      </c>
      <c r="D20" s="26">
        <f>IFERROR(Costs!D53/Revenue!D6,0)</f>
        <v/>
      </c>
      <c r="E20" s="26">
        <f>IFERROR(Costs!E53/Revenue!E6,0)</f>
        <v/>
      </c>
      <c r="F20" s="26">
        <f>IFERROR(Costs!F53/Revenue!F6,0)</f>
        <v/>
      </c>
      <c r="G20" s="9" t="inlineStr">
        <is>
          <t>What it would add to the fee if inclusion were funded by all parents rather than the County. Compare against H16a.</t>
        </is>
      </c>
    </row>
    <row r="23">
      <c r="A23" s="9" t="inlineStr">
        <is>
          <t>Read the break-even figure alongside the Sensitivity sheet. Staff costs step up when enrolment crosses the caregiver ratio, so a break-even far from the enrolment you entered is only approximate.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showGridLines="0" workbookViewId="0">
      <pane ySplit="4" topLeftCell="A5" activePane="bottomLeft" state="frozen"/>
      <selection pane="bottomLeft" activeCell="A1" sqref="A1"/>
    </sheetView>
  </sheetViews>
  <sheetFormatPr baseColWidth="8" defaultRowHeight="15"/>
  <cols>
    <col width="42" customWidth="1" min="1" max="1"/>
    <col width="13" customWidth="1" min="2" max="2"/>
    <col width="13" customWidth="1" min="3" max="3"/>
    <col width="16" customWidth="1" min="4" max="4"/>
    <col width="16" customWidth="1" min="5" max="5"/>
    <col width="16" customWidth="1" min="6" max="6"/>
    <col width="16" customWidth="1" min="7" max="7"/>
    <col width="3" customWidth="1" min="8" max="8"/>
    <col width="36" customWidth="1" min="9" max="9"/>
  </cols>
  <sheetData>
    <row r="1">
      <c r="A1" s="1" t="inlineStr">
        <is>
          <t>Sensitivity</t>
        </is>
      </c>
    </row>
    <row r="2">
      <c r="A2" s="2" t="inlineStr">
        <is>
          <t>Does the cheapest model stay the cheapest when the assumptions are wrong?</t>
        </is>
      </c>
    </row>
    <row r="4">
      <c r="A4" s="2" t="inlineStr">
        <is>
          <t>Each row changes one thing and recomputes cost per child-day. Multipliers are inputs — change them to test your own scenarios.</t>
        </is>
      </c>
    </row>
    <row r="6" ht="30" customHeight="1">
      <c r="A6" s="6" t="inlineStr">
        <is>
          <t>Scenario</t>
        </is>
      </c>
      <c r="B6" s="6" t="inlineStr">
        <is>
          <t>Enrolment ×</t>
        </is>
      </c>
      <c r="C6" s="6" t="inlineStr">
        <is>
          <t>Fixed cost ×</t>
        </is>
      </c>
      <c r="D6" s="6" t="inlineStr">
        <is>
          <t>County-run</t>
        </is>
      </c>
      <c r="E6" s="6" t="inlineStr">
        <is>
          <t>Private operator</t>
        </is>
      </c>
      <c r="F6" s="6" t="inlineStr">
        <is>
          <t>Partnership (PPP)</t>
        </is>
      </c>
      <c r="G6" s="6" t="inlineStr">
        <is>
          <t>Trader committee</t>
        </is>
      </c>
      <c r="H6" s="6" t="inlineStr"/>
      <c r="I6" s="6" t="inlineStr">
        <is>
          <t>What it tests</t>
        </is>
      </c>
    </row>
    <row r="7">
      <c r="A7" s="7" t="inlineStr">
        <is>
          <t>As entered (base case)</t>
        </is>
      </c>
      <c r="B7" s="28" t="n">
        <v>1</v>
      </c>
      <c r="C7" s="28" t="n">
        <v>1</v>
      </c>
      <c r="D7" s="26">
        <f>IFERROR((Comparison!$C$14*$C7)/(Assumptions!$B$7*$B7*Assumptions!$B$8*Assumptions!$B$6)+Comparison!$C$13,0)</f>
        <v/>
      </c>
      <c r="E7" s="26">
        <f>IFERROR((Comparison!$D$14*$C7)/(Assumptions!$B$7*$B7*Assumptions!$B$8*Assumptions!$B$6)+Comparison!$D$13,0)</f>
        <v/>
      </c>
      <c r="F7" s="26">
        <f>IFERROR((Comparison!$E$14*$C7)/(Assumptions!$B$7*$B7*Assumptions!$B$8*Assumptions!$B$6)+Comparison!$E$13,0)</f>
        <v/>
      </c>
      <c r="G7" s="26">
        <f>IFERROR((Comparison!$F$14*$C7)/(Assumptions!$B$7*$B7*Assumptions!$B$8*Assumptions!$B$6)+Comparison!$F$13,0)</f>
        <v/>
      </c>
      <c r="I7" s="9" t="inlineStr">
        <is>
          <t>The Assumptions sheet as it stands.</t>
        </is>
      </c>
    </row>
    <row r="8">
      <c r="A8" s="7" t="inlineStr">
        <is>
          <t>Enrolment 30% lower</t>
        </is>
      </c>
      <c r="B8" s="28" t="n">
        <v>0.7</v>
      </c>
      <c r="C8" s="28" t="n">
        <v>1</v>
      </c>
      <c r="D8" s="26">
        <f>IFERROR((Comparison!$C$14*$C8)/(Assumptions!$B$7*$B8*Assumptions!$B$8*Assumptions!$B$6)+Comparison!$C$13,0)</f>
        <v/>
      </c>
      <c r="E8" s="26">
        <f>IFERROR((Comparison!$D$14*$C8)/(Assumptions!$B$7*$B8*Assumptions!$B$8*Assumptions!$B$6)+Comparison!$D$13,0)</f>
        <v/>
      </c>
      <c r="F8" s="26">
        <f>IFERROR((Comparison!$E$14*$C8)/(Assumptions!$B$7*$B8*Assumptions!$B$8*Assumptions!$B$6)+Comparison!$E$13,0)</f>
        <v/>
      </c>
      <c r="G8" s="26">
        <f>IFERROR((Comparison!$F$14*$C8)/(Assumptions!$B$7*$B8*Assumptions!$B$8*Assumptions!$B$6)+Comparison!$F$13,0)</f>
        <v/>
      </c>
      <c r="I8" s="9" t="inlineStr">
        <is>
          <t>Fewer children than hoped — the most common way these fail.</t>
        </is>
      </c>
    </row>
    <row r="9">
      <c r="A9" s="7" t="inlineStr">
        <is>
          <t>Enrolment 30% higher</t>
        </is>
      </c>
      <c r="B9" s="28" t="n">
        <v>1.3</v>
      </c>
      <c r="C9" s="28" t="n">
        <v>1</v>
      </c>
      <c r="D9" s="26">
        <f>IFERROR((Comparison!$C$14*$C9)/(Assumptions!$B$7*$B9*Assumptions!$B$8*Assumptions!$B$6)+Comparison!$C$13,0)</f>
        <v/>
      </c>
      <c r="E9" s="26">
        <f>IFERROR((Comparison!$D$14*$C9)/(Assumptions!$B$7*$B9*Assumptions!$B$8*Assumptions!$B$6)+Comparison!$D$13,0)</f>
        <v/>
      </c>
      <c r="F9" s="26">
        <f>IFERROR((Comparison!$E$14*$C9)/(Assumptions!$B$7*$B9*Assumptions!$B$8*Assumptions!$B$6)+Comparison!$E$13,0)</f>
        <v/>
      </c>
      <c r="G9" s="26">
        <f>IFERROR((Comparison!$F$14*$C9)/(Assumptions!$B$7*$B9*Assumptions!$B$8*Assumptions!$B$6)+Comparison!$F$13,0)</f>
        <v/>
      </c>
      <c r="I9" s="9" t="inlineStr">
        <is>
          <t>Demand exceeds the plan.</t>
        </is>
      </c>
    </row>
    <row r="10">
      <c r="A10" s="7" t="inlineStr">
        <is>
          <t>Salaries and overheads 20% higher</t>
        </is>
      </c>
      <c r="B10" s="28" t="n">
        <v>1</v>
      </c>
      <c r="C10" s="28" t="n">
        <v>1.2</v>
      </c>
      <c r="D10" s="26">
        <f>IFERROR((Comparison!$C$14*$C10)/(Assumptions!$B$7*$B10*Assumptions!$B$8*Assumptions!$B$6)+Comparison!$C$13,0)</f>
        <v/>
      </c>
      <c r="E10" s="26">
        <f>IFERROR((Comparison!$D$14*$C10)/(Assumptions!$B$7*$B10*Assumptions!$B$8*Assumptions!$B$6)+Comparison!$D$13,0)</f>
        <v/>
      </c>
      <c r="F10" s="26">
        <f>IFERROR((Comparison!$E$14*$C10)/(Assumptions!$B$7*$B10*Assumptions!$B$8*Assumptions!$B$6)+Comparison!$E$13,0)</f>
        <v/>
      </c>
      <c r="G10" s="26">
        <f>IFERROR((Comparison!$F$14*$C10)/(Assumptions!$B$7*$B10*Assumptions!$B$8*Assumptions!$B$6)+Comparison!$F$13,0)</f>
        <v/>
      </c>
      <c r="I10" s="9" t="inlineStr">
        <is>
          <t>Pay pressure, or an underestimated staffing need.</t>
        </is>
      </c>
    </row>
    <row r="11">
      <c r="A11" s="7" t="inlineStr">
        <is>
          <t>Low season</t>
        </is>
      </c>
      <c r="B11" s="28" t="n">
        <v>0.6</v>
      </c>
      <c r="C11" s="28" t="n">
        <v>1</v>
      </c>
      <c r="D11" s="26">
        <f>IFERROR((Comparison!$C$14*$C11)/(Assumptions!$B$7*$B11*Assumptions!$B$8*Assumptions!$B$6)+Comparison!$C$13,0)</f>
        <v/>
      </c>
      <c r="E11" s="26">
        <f>IFERROR((Comparison!$D$14*$C11)/(Assumptions!$B$7*$B11*Assumptions!$B$8*Assumptions!$B$6)+Comparison!$D$13,0)</f>
        <v/>
      </c>
      <c r="F11" s="26">
        <f>IFERROR((Comparison!$E$14*$C11)/(Assumptions!$B$7*$B11*Assumptions!$B$8*Assumptions!$B$6)+Comparison!$E$13,0)</f>
        <v/>
      </c>
      <c r="G11" s="26">
        <f>IFERROR((Comparison!$F$14*$C11)/(Assumptions!$B$7*$B11*Assumptions!$B$8*Assumptions!$B$6)+Comparison!$F$13,0)</f>
        <v/>
      </c>
      <c r="I11" s="9" t="inlineStr">
        <is>
          <t>Traders trade fewer days in some months (B21); fixed costs do not fall.</t>
        </is>
      </c>
    </row>
    <row r="12">
      <c r="A12" s="7" t="inlineStr">
        <is>
          <t>Both: low enrolment and higher costs</t>
        </is>
      </c>
      <c r="B12" s="28" t="n">
        <v>0.7</v>
      </c>
      <c r="C12" s="28" t="n">
        <v>1.2</v>
      </c>
      <c r="D12" s="26">
        <f>IFERROR((Comparison!$C$14*$C12)/(Assumptions!$B$7*$B12*Assumptions!$B$8*Assumptions!$B$6)+Comparison!$C$13,0)</f>
        <v/>
      </c>
      <c r="E12" s="26">
        <f>IFERROR((Comparison!$D$14*$C12)/(Assumptions!$B$7*$B12*Assumptions!$B$8*Assumptions!$B$6)+Comparison!$D$13,0)</f>
        <v/>
      </c>
      <c r="F12" s="26">
        <f>IFERROR((Comparison!$E$14*$C12)/(Assumptions!$B$7*$B12*Assumptions!$B$8*Assumptions!$B$6)+Comparison!$E$13,0)</f>
        <v/>
      </c>
      <c r="G12" s="26">
        <f>IFERROR((Comparison!$F$14*$C12)/(Assumptions!$B$7*$B12*Assumptions!$B$8*Assumptions!$B$6)+Comparison!$F$13,0)</f>
        <v/>
      </c>
      <c r="I12" s="9" t="inlineStr">
        <is>
          <t>The pessimistic case. If the ranking holds here, it holds.</t>
        </is>
      </c>
    </row>
    <row r="14">
      <c r="A14" s="5" t="inlineStr">
        <is>
          <t>Cheapest model in each scenario</t>
        </is>
      </c>
    </row>
    <row r="15">
      <c r="A15" s="17" t="inlineStr">
        <is>
          <t>As entered (base case)</t>
        </is>
      </c>
      <c r="B15" s="29">
        <f>INDEX({"County-run","Private operator","Partnership (PPP)","Trader committee"},MATCH(MIN(D7:G7),D7:G7,0))</f>
        <v/>
      </c>
      <c r="C15" s="30" t="n"/>
    </row>
    <row r="16">
      <c r="A16" s="17" t="inlineStr">
        <is>
          <t>Enrolment 30% lower</t>
        </is>
      </c>
      <c r="B16" s="29">
        <f>INDEX({"County-run","Private operator","Partnership (PPP)","Trader committee"},MATCH(MIN(D8:G8),D8:G8,0))</f>
        <v/>
      </c>
      <c r="C16" s="30" t="n"/>
    </row>
    <row r="17">
      <c r="A17" s="17" t="inlineStr">
        <is>
          <t>Enrolment 30% higher</t>
        </is>
      </c>
      <c r="B17" s="29">
        <f>INDEX({"County-run","Private operator","Partnership (PPP)","Trader committee"},MATCH(MIN(D9:G9),D9:G9,0))</f>
        <v/>
      </c>
      <c r="C17" s="30" t="n"/>
    </row>
    <row r="18">
      <c r="A18" s="17" t="inlineStr">
        <is>
          <t>Salaries and overheads 20% higher</t>
        </is>
      </c>
      <c r="B18" s="29">
        <f>INDEX({"County-run","Private operator","Partnership (PPP)","Trader committee"},MATCH(MIN(D10:G10),D10:G10,0))</f>
        <v/>
      </c>
      <c r="C18" s="30" t="n"/>
    </row>
    <row r="19">
      <c r="A19" s="17" t="inlineStr">
        <is>
          <t>Low season</t>
        </is>
      </c>
      <c r="B19" s="29">
        <f>INDEX({"County-run","Private operator","Partnership (PPP)","Trader committee"},MATCH(MIN(D11:G11),D11:G11,0))</f>
        <v/>
      </c>
      <c r="C19" s="30" t="n"/>
    </row>
    <row r="20">
      <c r="A20" s="17" t="inlineStr">
        <is>
          <t>Both: low enrolment and higher costs</t>
        </is>
      </c>
      <c r="B20" s="29">
        <f>INDEX({"County-run","Private operator","Partnership (PPP)","Trader committee"},MATCH(MIN(D12:G12),D12:G12,0))</f>
        <v/>
      </c>
      <c r="C20" s="30" t="n"/>
    </row>
    <row r="22">
      <c r="A22" s="9" t="inlineStr">
        <is>
          <t>If the same name appears on every row, the recommendation is robust. If it changes, say so plainly and tell the County which figure decides it.</t>
        </is>
      </c>
    </row>
    <row r="23">
      <c r="A23" s="9" t="inlineStr">
        <is>
          <t>Simplification: this sheet scales fixed costs by a single multiplier rather than rebuilding the staffing roster. It is a test of robustness, not a second model — for a specific scenario, change the Assumptions sheet itself and read Comparison.</t>
        </is>
      </c>
    </row>
  </sheetData>
  <mergeCells count="6">
    <mergeCell ref="B16:C16"/>
    <mergeCell ref="B15:C15"/>
    <mergeCell ref="B19:C19"/>
    <mergeCell ref="B20:C20"/>
    <mergeCell ref="B17:C17"/>
    <mergeCell ref="B18:C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2026-09-18T15:57:24Z</dcterms:created>
  <dcterms:modified xmlns:dcterms="http://purl.org/dc/terms/" xmlns:xsi="http://www.w3.org/2001/XMLSchema-instance" xsi:type="dcterms:W3CDTF">2026-09-18T15:57:24Z</dcterms:modified>
</cp:coreProperties>
</file>